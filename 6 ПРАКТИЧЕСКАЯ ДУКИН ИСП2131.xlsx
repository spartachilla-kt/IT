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Статистика" sheetId="1" r:id="rId1"/>
    <sheet name="Продаж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2" i="2"/>
  <c r="G2" i="2" s="1"/>
  <c r="F2" i="2"/>
  <c r="C24" i="2"/>
  <c r="C23" i="2"/>
  <c r="C22" i="2"/>
  <c r="C21" i="2"/>
  <c r="C20" i="2"/>
  <c r="C19" i="2"/>
  <c r="C18" i="2"/>
  <c r="B21" i="1"/>
  <c r="B23" i="1"/>
  <c r="B22" i="1"/>
  <c r="B20" i="1"/>
  <c r="B19" i="1"/>
  <c r="B1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H2" i="2" l="1"/>
</calcChain>
</file>

<file path=xl/sharedStrings.xml><?xml version="1.0" encoding="utf-8"?>
<sst xmlns="http://schemas.openxmlformats.org/spreadsheetml/2006/main" count="62" uniqueCount="55">
  <si>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</si>
  <si>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</si>
  <si>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</si>
  <si>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</si>
  <si>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</si>
  <si>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</si>
  <si>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</si>
  <si>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</si>
  <si>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</si>
  <si>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</si>
  <si>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</si>
  <si>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</si>
  <si>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</si>
  <si>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</si>
  <si>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</si>
  <si>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</si>
  <si>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</si>
  <si>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</si>
  <si>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</si>
  <si>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</si>
  <si>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</si>
  <si>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</si>
  <si>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</si>
  <si>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</si>
  <si>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Сумма</t>
  </si>
  <si>
    <t>Среднее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</si>
  <si>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</si>
  <si>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</si>
  <si>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</si>
  <si>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</si>
  <si>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</si>
  <si>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</si>
  <si>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</si>
  <si>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</si>
  <si>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</si>
  <si>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</si>
  <si>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</si>
  <si>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</si>
  <si>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</si>
  <si>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</si>
  <si>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</si>
  <si>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</si>
  <si>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</si>
  <si>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</si>
  <si>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</si>
  <si>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мышки</t>
  </si>
  <si>
    <t>USB-хаб</t>
  </si>
  <si>
    <t>Картридж</t>
  </si>
  <si>
    <t>Бумага А4</t>
  </si>
  <si>
    <t>Роутер</t>
  </si>
  <si>
    <t>Сумма выручки</t>
  </si>
  <si>
    <t>Стандартное отклонение</t>
  </si>
  <si>
    <t>Дисперсия</t>
  </si>
  <si>
    <t>Доля в %</t>
  </si>
  <si>
    <t>Корреляция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</si>
</sst>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\ &quot;₽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65" fontId="0" fillId="0" borderId="1" xfId="0" applyNumberFormat="1" applyBorder="1"/>
    <xf numFmtId="0" fontId="2" fillId="2" borderId="2" xfId="0" applyFont="1" applyFill="1" applyBorder="1" applyAlignment="1">
      <alignment horizontal="center" vertical="center"/>
    </xf>
    <xf numFmtId="1" fontId="1" fillId="0" borderId="1" xfId="0" applyNumberFormat="1" applyFont="1" applyBorder="1"/>
    <xf numFmtId="1" fontId="2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2" fontId="0" fillId="0" borderId="1" xfId="0" applyNumberFormat="1" applyBorder="1"/>
    <xf numFmtId="1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J7" sqref="J7"/>
    </sheetView>
  </sheetViews>
  <sheetFormatPr defaultRowHeight="14.4" x14ac:dyDescent="0.3"/>
  <cols>
    <col min="1" max="1" width="10.6640625" bestFit="1" customWidth="1"/>
    <col min="2" max="2" width="14.88671875" style="1" bestFit="1" customWidth="1"/>
    <col min="3" max="3" width="11.77734375" bestFit="1" customWidth="1"/>
    <col min="4" max="4" width="16.5546875" bestFit="1" customWidth="1"/>
    <col min="5" max="5" width="14.5546875" bestFit="1" customWidth="1"/>
    <col min="6" max="6" width="13.77734375" bestFit="1" customWidth="1"/>
    <col min="7" max="7" width="13.33203125" customWidth="1"/>
    <col min="8" max="8" width="7.5546875" bestFit="1" customWidth="1"/>
    <col min="9" max="9" width="4.88671875" bestFit="1" customWidth="1"/>
  </cols>
  <sheetData>
    <row r="1" spans="1:9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5">
        <v>1</v>
      </c>
      <c r="B2" s="6" t="s">
        <v>9</v>
      </c>
      <c r="C2" s="7">
        <v>85</v>
      </c>
      <c r="D2" s="7">
        <v>78</v>
      </c>
      <c r="E2" s="7">
        <v>92</v>
      </c>
      <c r="F2" s="7">
        <f>C2+D2+E2</f>
        <v>255</v>
      </c>
      <c r="G2" s="7">
        <f>AVERAGE(C2:E2)</f>
        <v>85</v>
      </c>
      <c r="H2" s="5" t="str">
        <f>IF(G2&gt;=90, "5", IF(G2&gt;=75, "4", IF(G2&gt;=60, "3","2")))</f>
        <v>4</v>
      </c>
      <c r="I2" s="5">
        <f>RANK(G2,$G$2:$G$16,0)</f>
        <v>6</v>
      </c>
    </row>
    <row r="3" spans="1:9" x14ac:dyDescent="0.3">
      <c r="A3" s="5">
        <v>2</v>
      </c>
      <c r="B3" s="6" t="s">
        <v>10</v>
      </c>
      <c r="C3" s="7">
        <v>72</v>
      </c>
      <c r="D3" s="7">
        <v>65</v>
      </c>
      <c r="E3" s="7">
        <v>80</v>
      </c>
      <c r="F3" s="7">
        <f t="shared" ref="F3:F16" si="0">C3+D3+E3</f>
        <v>217</v>
      </c>
      <c r="G3" s="7">
        <f t="shared" ref="G3:G16" si="1">AVERAGE(C3:E3)</f>
        <v>72.333333333333329</v>
      </c>
      <c r="H3" s="5" t="str">
        <f t="shared" ref="H3:H16" si="2">IF(G3&gt;=90, "5", IF(G3&gt;=75, "4", IF(G3&gt;=60, "3","2")))</f>
        <v>3</v>
      </c>
      <c r="I3" s="5">
        <f t="shared" ref="I3:I16" si="3">RANK(G3,$G$2:$G$16,0)</f>
        <v>10</v>
      </c>
    </row>
    <row r="4" spans="1:9" x14ac:dyDescent="0.3">
      <c r="A4" s="5">
        <v>3</v>
      </c>
      <c r="B4" s="6" t="s">
        <v>11</v>
      </c>
      <c r="C4" s="7">
        <v>95</v>
      </c>
      <c r="D4" s="7">
        <v>88</v>
      </c>
      <c r="E4" s="7">
        <v>98</v>
      </c>
      <c r="F4" s="7">
        <f t="shared" si="0"/>
        <v>281</v>
      </c>
      <c r="G4" s="7">
        <f t="shared" si="1"/>
        <v>93.666666666666671</v>
      </c>
      <c r="H4" s="5" t="str">
        <f t="shared" si="2"/>
        <v>5</v>
      </c>
      <c r="I4" s="5">
        <f t="shared" si="3"/>
        <v>2</v>
      </c>
    </row>
    <row r="5" spans="1:9" x14ac:dyDescent="0.3">
      <c r="A5" s="5">
        <v>4</v>
      </c>
      <c r="B5" s="6" t="s">
        <v>12</v>
      </c>
      <c r="C5" s="7">
        <v>65</v>
      </c>
      <c r="D5" s="7">
        <v>55</v>
      </c>
      <c r="E5" s="7">
        <v>70</v>
      </c>
      <c r="F5" s="7">
        <f t="shared" si="0"/>
        <v>190</v>
      </c>
      <c r="G5" s="7">
        <f t="shared" si="1"/>
        <v>63.333333333333336</v>
      </c>
      <c r="H5" s="5" t="str">
        <f t="shared" si="2"/>
        <v>3</v>
      </c>
      <c r="I5" s="5">
        <f t="shared" si="3"/>
        <v>13</v>
      </c>
    </row>
    <row r="6" spans="1:9" x14ac:dyDescent="0.3">
      <c r="A6" s="5">
        <v>5</v>
      </c>
      <c r="B6" s="6" t="s">
        <v>13</v>
      </c>
      <c r="C6" s="7">
        <v>78</v>
      </c>
      <c r="D6" s="7">
        <v>82</v>
      </c>
      <c r="E6" s="7">
        <v>85</v>
      </c>
      <c r="F6" s="7">
        <f t="shared" si="0"/>
        <v>245</v>
      </c>
      <c r="G6" s="7">
        <f t="shared" si="1"/>
        <v>81.666666666666671</v>
      </c>
      <c r="H6" s="5" t="str">
        <f t="shared" si="2"/>
        <v>4</v>
      </c>
      <c r="I6" s="5">
        <f t="shared" si="3"/>
        <v>7</v>
      </c>
    </row>
    <row r="7" spans="1:9" x14ac:dyDescent="0.3">
      <c r="A7" s="5">
        <v>6</v>
      </c>
      <c r="B7" s="6" t="s">
        <v>14</v>
      </c>
      <c r="C7" s="7">
        <v>88</v>
      </c>
      <c r="D7" s="7">
        <v>90</v>
      </c>
      <c r="E7" s="7">
        <v>95</v>
      </c>
      <c r="F7" s="7">
        <f t="shared" si="0"/>
        <v>273</v>
      </c>
      <c r="G7" s="7">
        <f t="shared" si="1"/>
        <v>91</v>
      </c>
      <c r="H7" s="5" t="str">
        <f t="shared" si="2"/>
        <v>5</v>
      </c>
      <c r="I7" s="5">
        <f t="shared" si="3"/>
        <v>4</v>
      </c>
    </row>
    <row r="8" spans="1:9" x14ac:dyDescent="0.3">
      <c r="A8" s="5">
        <v>7</v>
      </c>
      <c r="B8" s="6" t="s">
        <v>15</v>
      </c>
      <c r="C8" s="7">
        <v>65</v>
      </c>
      <c r="D8" s="7">
        <v>70</v>
      </c>
      <c r="E8" s="7">
        <v>68</v>
      </c>
      <c r="F8" s="7">
        <f t="shared" si="0"/>
        <v>203</v>
      </c>
      <c r="G8" s="7">
        <f t="shared" si="1"/>
        <v>67.666666666666671</v>
      </c>
      <c r="H8" s="5" t="str">
        <f t="shared" si="2"/>
        <v>3</v>
      </c>
      <c r="I8" s="5">
        <f t="shared" si="3"/>
        <v>12</v>
      </c>
    </row>
    <row r="9" spans="1:9" x14ac:dyDescent="0.3">
      <c r="A9" s="5">
        <v>8</v>
      </c>
      <c r="B9" s="6" t="s">
        <v>16</v>
      </c>
      <c r="C9" s="7">
        <v>92</v>
      </c>
      <c r="D9" s="7">
        <v>85</v>
      </c>
      <c r="E9" s="7">
        <v>88</v>
      </c>
      <c r="F9" s="7">
        <f t="shared" si="0"/>
        <v>265</v>
      </c>
      <c r="G9" s="7">
        <f t="shared" si="1"/>
        <v>88.333333333333329</v>
      </c>
      <c r="H9" s="5" t="str">
        <f t="shared" si="2"/>
        <v>4</v>
      </c>
      <c r="I9" s="5">
        <f t="shared" si="3"/>
        <v>5</v>
      </c>
    </row>
    <row r="10" spans="1:9" x14ac:dyDescent="0.3">
      <c r="A10" s="5">
        <v>9</v>
      </c>
      <c r="B10" s="6" t="s">
        <v>17</v>
      </c>
      <c r="C10" s="7">
        <v>55</v>
      </c>
      <c r="D10" s="7">
        <v>60</v>
      </c>
      <c r="E10" s="7">
        <v>58</v>
      </c>
      <c r="F10" s="7">
        <f t="shared" si="0"/>
        <v>173</v>
      </c>
      <c r="G10" s="7">
        <f t="shared" si="1"/>
        <v>57.666666666666664</v>
      </c>
      <c r="H10" s="5" t="str">
        <f t="shared" si="2"/>
        <v>2</v>
      </c>
      <c r="I10" s="5">
        <f t="shared" si="3"/>
        <v>15</v>
      </c>
    </row>
    <row r="11" spans="1:9" x14ac:dyDescent="0.3">
      <c r="A11" s="5">
        <v>10</v>
      </c>
      <c r="B11" s="6" t="s">
        <v>18</v>
      </c>
      <c r="C11" s="7">
        <v>80</v>
      </c>
      <c r="D11" s="7">
        <v>75</v>
      </c>
      <c r="E11" s="7">
        <v>82</v>
      </c>
      <c r="F11" s="7">
        <f t="shared" si="0"/>
        <v>237</v>
      </c>
      <c r="G11" s="7">
        <f t="shared" si="1"/>
        <v>79</v>
      </c>
      <c r="H11" s="5" t="str">
        <f t="shared" si="2"/>
        <v>4</v>
      </c>
      <c r="I11" s="5">
        <f t="shared" si="3"/>
        <v>8</v>
      </c>
    </row>
    <row r="12" spans="1:9" x14ac:dyDescent="0.3">
      <c r="A12" s="5">
        <v>11</v>
      </c>
      <c r="B12" s="6" t="s">
        <v>19</v>
      </c>
      <c r="C12" s="7">
        <v>70</v>
      </c>
      <c r="D12" s="7">
        <v>68</v>
      </c>
      <c r="E12" s="7">
        <v>72</v>
      </c>
      <c r="F12" s="7">
        <f t="shared" si="0"/>
        <v>210</v>
      </c>
      <c r="G12" s="7">
        <f t="shared" si="1"/>
        <v>70</v>
      </c>
      <c r="H12" s="5" t="str">
        <f t="shared" si="2"/>
        <v>3</v>
      </c>
      <c r="I12" s="5">
        <f t="shared" si="3"/>
        <v>11</v>
      </c>
    </row>
    <row r="13" spans="1:9" x14ac:dyDescent="0.3">
      <c r="A13" s="5">
        <v>12</v>
      </c>
      <c r="B13" s="6" t="s">
        <v>20</v>
      </c>
      <c r="C13" s="7">
        <v>90</v>
      </c>
      <c r="D13" s="7">
        <v>92</v>
      </c>
      <c r="E13" s="7">
        <v>94</v>
      </c>
      <c r="F13" s="7">
        <f t="shared" si="0"/>
        <v>276</v>
      </c>
      <c r="G13" s="7">
        <f t="shared" si="1"/>
        <v>92</v>
      </c>
      <c r="H13" s="5" t="str">
        <f t="shared" si="2"/>
        <v>5</v>
      </c>
      <c r="I13" s="5">
        <f t="shared" si="3"/>
        <v>3</v>
      </c>
    </row>
    <row r="14" spans="1:9" x14ac:dyDescent="0.3">
      <c r="A14" s="5">
        <v>13</v>
      </c>
      <c r="B14" s="6" t="s">
        <v>21</v>
      </c>
      <c r="C14" s="7">
        <v>75</v>
      </c>
      <c r="D14" s="7">
        <v>78</v>
      </c>
      <c r="E14" s="7">
        <v>80</v>
      </c>
      <c r="F14" s="7">
        <f t="shared" si="0"/>
        <v>233</v>
      </c>
      <c r="G14" s="7">
        <f t="shared" si="1"/>
        <v>77.666666666666671</v>
      </c>
      <c r="H14" s="5" t="str">
        <f t="shared" si="2"/>
        <v>4</v>
      </c>
      <c r="I14" s="5">
        <f t="shared" si="3"/>
        <v>9</v>
      </c>
    </row>
    <row r="15" spans="1:9" x14ac:dyDescent="0.3">
      <c r="A15" s="5">
        <v>14</v>
      </c>
      <c r="B15" s="6" t="s">
        <v>22</v>
      </c>
      <c r="C15" s="7">
        <v>62</v>
      </c>
      <c r="D15" s="7">
        <v>58</v>
      </c>
      <c r="E15" s="7">
        <v>65</v>
      </c>
      <c r="F15" s="7">
        <f t="shared" si="0"/>
        <v>185</v>
      </c>
      <c r="G15" s="7">
        <f t="shared" si="1"/>
        <v>61.666666666666664</v>
      </c>
      <c r="H15" s="5" t="str">
        <f t="shared" si="2"/>
        <v>3</v>
      </c>
      <c r="I15" s="5">
        <f t="shared" si="3"/>
        <v>14</v>
      </c>
    </row>
    <row r="16" spans="1:9" x14ac:dyDescent="0.3">
      <c r="A16" s="5">
        <v>15</v>
      </c>
      <c r="B16" s="6" t="s">
        <v>23</v>
      </c>
      <c r="C16" s="7">
        <v>98</v>
      </c>
      <c r="D16" s="7">
        <v>95</v>
      </c>
      <c r="E16" s="7">
        <v>100</v>
      </c>
      <c r="F16" s="7">
        <f t="shared" si="0"/>
        <v>293</v>
      </c>
      <c r="G16" s="7">
        <f t="shared" si="1"/>
        <v>97.666666666666671</v>
      </c>
      <c r="H16" s="5" t="str">
        <f t="shared" si="2"/>
        <v>5</v>
      </c>
      <c r="I16" s="5">
        <f t="shared" si="3"/>
        <v>1</v>
      </c>
    </row>
    <row r="18" spans="1:2" x14ac:dyDescent="0.3">
      <c r="A18" s="8" t="s">
        <v>24</v>
      </c>
      <c r="B18" s="10">
        <f>SUM(F2:F16)</f>
        <v>3536</v>
      </c>
    </row>
    <row r="19" spans="1:2" x14ac:dyDescent="0.3">
      <c r="A19" s="8" t="s">
        <v>25</v>
      </c>
      <c r="B19" s="10">
        <f>AVERAGE(G2:G16)</f>
        <v>78.577777777777783</v>
      </c>
    </row>
    <row r="20" spans="1:2" x14ac:dyDescent="0.3">
      <c r="A20" s="8" t="s">
        <v>26</v>
      </c>
      <c r="B20" s="10">
        <f>MEDIAN(G2:G16)</f>
        <v>79</v>
      </c>
    </row>
    <row r="21" spans="1:2" x14ac:dyDescent="0.3">
      <c r="A21" s="8" t="s">
        <v>27</v>
      </c>
      <c r="B21" s="9" t="e">
        <f>_xlfn.MODE.SNGL(G2:G16)</f>
        <v>#N/A</v>
      </c>
    </row>
    <row r="22" spans="1:2" x14ac:dyDescent="0.3">
      <c r="A22" s="8" t="s">
        <v>28</v>
      </c>
      <c r="B22" s="10">
        <f>MIN(G2:G16)</f>
        <v>57.666666666666664</v>
      </c>
    </row>
    <row r="23" spans="1:2" x14ac:dyDescent="0.3">
      <c r="A23" s="8" t="s">
        <v>29</v>
      </c>
      <c r="B23" s="10">
        <f>MAX(G2:G16)</f>
        <v>97.666666666666671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J16" sqref="J16"/>
    </sheetView>
  </sheetViews>
  <sheetFormatPr defaultRowHeight="14.4" x14ac:dyDescent="0.3"/>
  <cols>
    <col min="1" max="1" width="3.109375" bestFit="1" customWidth="1"/>
    <col min="2" max="2" width="23.109375" bestFit="1" customWidth="1"/>
    <col min="3" max="3" width="11" bestFit="1" customWidth="1"/>
    <col min="4" max="4" width="13.5546875" bestFit="1" customWidth="1"/>
    <col min="5" max="5" width="8.88671875" bestFit="1" customWidth="1"/>
    <col min="6" max="6" width="9.88671875" style="2" bestFit="1" customWidth="1"/>
    <col min="7" max="7" width="15.21875" bestFit="1" customWidth="1"/>
    <col min="9" max="9" width="4.88671875" bestFit="1" customWidth="1"/>
    <col min="10" max="10" width="11.6640625" bestFit="1" customWidth="1"/>
  </cols>
  <sheetData>
    <row r="1" spans="1:10" x14ac:dyDescent="0.3">
      <c r="A1" s="3" t="s">
        <v>0</v>
      </c>
      <c r="B1" s="3" t="s">
        <v>30</v>
      </c>
      <c r="C1" s="3" t="s">
        <v>31</v>
      </c>
      <c r="D1" s="3" t="s">
        <v>32</v>
      </c>
      <c r="E1" s="3" t="s">
        <v>33</v>
      </c>
      <c r="F1" s="14" t="s">
        <v>34</v>
      </c>
      <c r="G1" s="12" t="s">
        <v>50</v>
      </c>
      <c r="H1" s="12" t="s">
        <v>53</v>
      </c>
      <c r="I1" s="12" t="s">
        <v>8</v>
      </c>
      <c r="J1" s="12" t="s">
        <v>54</v>
      </c>
    </row>
    <row r="2" spans="1:10" x14ac:dyDescent="0.3">
      <c r="A2" s="5">
        <v>1</v>
      </c>
      <c r="B2" s="5" t="s">
        <v>35</v>
      </c>
      <c r="C2" s="11">
        <v>45000</v>
      </c>
      <c r="D2" s="5">
        <v>12</v>
      </c>
      <c r="E2" s="11">
        <f>C2*D2</f>
        <v>540000</v>
      </c>
      <c r="F2" s="16" t="str">
        <f>IF(E2&gt;100000,"Топ",IF(E2&gt;50000,"Средний","Низкий"))</f>
        <v>Топ</v>
      </c>
      <c r="G2" s="11">
        <f>SUM(E2:E16)</f>
        <v>1888100</v>
      </c>
      <c r="H2" s="17">
        <f>E2/$G$2</f>
        <v>0.28600180075207882</v>
      </c>
      <c r="I2" s="5">
        <f>RANK(E2,$E$2:$E$16,0)</f>
        <v>1</v>
      </c>
      <c r="J2">
        <f>CORREL(C2:C16,D2:D16)</f>
        <v>-0.39694833806521035</v>
      </c>
    </row>
    <row r="3" spans="1:10" x14ac:dyDescent="0.3">
      <c r="A3" s="5">
        <v>2</v>
      </c>
      <c r="B3" s="5" t="s">
        <v>36</v>
      </c>
      <c r="C3" s="11">
        <v>18000</v>
      </c>
      <c r="D3" s="5">
        <v>25</v>
      </c>
      <c r="E3" s="11">
        <f t="shared" ref="E3:E16" si="0">C3*D3</f>
        <v>450000</v>
      </c>
      <c r="F3" s="16" t="str">
        <f t="shared" ref="F3:F16" si="1">IF(E3&gt;100000,"Топ",IF(E3&gt;50000,"Средний","Низкий"))</f>
        <v>Топ</v>
      </c>
      <c r="G3" s="15"/>
      <c r="I3" s="5">
        <f t="shared" ref="I3:I16" si="2">RANK(E3,$E$2:$E$16,0)</f>
        <v>2</v>
      </c>
    </row>
    <row r="4" spans="1:10" x14ac:dyDescent="0.3">
      <c r="A4" s="5">
        <v>3</v>
      </c>
      <c r="B4" s="5" t="s">
        <v>37</v>
      </c>
      <c r="C4" s="11">
        <v>1500</v>
      </c>
      <c r="D4" s="5">
        <v>60</v>
      </c>
      <c r="E4" s="11">
        <f t="shared" si="0"/>
        <v>90000</v>
      </c>
      <c r="F4" s="16" t="str">
        <f t="shared" si="1"/>
        <v>Средний</v>
      </c>
      <c r="G4" s="15"/>
      <c r="I4" s="5">
        <f t="shared" si="2"/>
        <v>5</v>
      </c>
    </row>
    <row r="5" spans="1:10" x14ac:dyDescent="0.3">
      <c r="A5" s="5">
        <v>4</v>
      </c>
      <c r="B5" s="5" t="s">
        <v>38</v>
      </c>
      <c r="C5" s="11">
        <v>800</v>
      </c>
      <c r="D5" s="5">
        <v>85</v>
      </c>
      <c r="E5" s="11">
        <f t="shared" si="0"/>
        <v>68000</v>
      </c>
      <c r="F5" s="16" t="str">
        <f t="shared" si="1"/>
        <v>Средний</v>
      </c>
      <c r="G5" s="15"/>
      <c r="I5" s="5">
        <f t="shared" si="2"/>
        <v>9</v>
      </c>
    </row>
    <row r="6" spans="1:10" x14ac:dyDescent="0.3">
      <c r="A6" s="5">
        <v>5</v>
      </c>
      <c r="B6" s="5" t="s">
        <v>39</v>
      </c>
      <c r="C6" s="11">
        <v>12000</v>
      </c>
      <c r="D6" s="5">
        <v>8</v>
      </c>
      <c r="E6" s="11">
        <f t="shared" si="0"/>
        <v>96000</v>
      </c>
      <c r="F6" s="16" t="str">
        <f t="shared" si="1"/>
        <v>Средний</v>
      </c>
      <c r="G6" s="15"/>
      <c r="I6" s="5">
        <f t="shared" si="2"/>
        <v>4</v>
      </c>
    </row>
    <row r="7" spans="1:10" x14ac:dyDescent="0.3">
      <c r="A7" s="5">
        <v>6</v>
      </c>
      <c r="B7" s="5" t="s">
        <v>40</v>
      </c>
      <c r="C7" s="11">
        <v>9000</v>
      </c>
      <c r="D7" s="5">
        <v>6</v>
      </c>
      <c r="E7" s="11">
        <f t="shared" si="0"/>
        <v>54000</v>
      </c>
      <c r="F7" s="16" t="str">
        <f t="shared" si="1"/>
        <v>Средний</v>
      </c>
      <c r="G7" s="15"/>
      <c r="I7" s="5">
        <f t="shared" si="2"/>
        <v>12</v>
      </c>
    </row>
    <row r="8" spans="1:10" x14ac:dyDescent="0.3">
      <c r="A8" s="5">
        <v>7</v>
      </c>
      <c r="B8" s="5" t="s">
        <v>41</v>
      </c>
      <c r="C8" s="11">
        <v>600</v>
      </c>
      <c r="D8" s="5">
        <v>120</v>
      </c>
      <c r="E8" s="11">
        <f t="shared" si="0"/>
        <v>72000</v>
      </c>
      <c r="F8" s="16" t="str">
        <f t="shared" si="1"/>
        <v>Средний</v>
      </c>
      <c r="G8" s="15"/>
      <c r="I8" s="5">
        <f t="shared" si="2"/>
        <v>7</v>
      </c>
    </row>
    <row r="9" spans="1:10" x14ac:dyDescent="0.3">
      <c r="A9" s="5">
        <v>8</v>
      </c>
      <c r="B9" s="5" t="s">
        <v>42</v>
      </c>
      <c r="C9" s="11">
        <v>5500</v>
      </c>
      <c r="D9" s="5">
        <v>15</v>
      </c>
      <c r="E9" s="11">
        <f t="shared" si="0"/>
        <v>82500</v>
      </c>
      <c r="F9" s="16" t="str">
        <f t="shared" si="1"/>
        <v>Средний</v>
      </c>
      <c r="G9" s="15"/>
      <c r="I9" s="5">
        <f t="shared" si="2"/>
        <v>6</v>
      </c>
    </row>
    <row r="10" spans="1:10" x14ac:dyDescent="0.3">
      <c r="A10" s="5">
        <v>9</v>
      </c>
      <c r="B10" s="5" t="s">
        <v>43</v>
      </c>
      <c r="C10" s="11">
        <v>2800</v>
      </c>
      <c r="D10" s="5">
        <v>22</v>
      </c>
      <c r="E10" s="11">
        <f t="shared" si="0"/>
        <v>61600</v>
      </c>
      <c r="F10" s="16" t="str">
        <f t="shared" si="1"/>
        <v>Средний</v>
      </c>
      <c r="G10" s="15"/>
      <c r="I10" s="5">
        <f t="shared" si="2"/>
        <v>11</v>
      </c>
    </row>
    <row r="11" spans="1:10" x14ac:dyDescent="0.3">
      <c r="A11" s="5">
        <v>10</v>
      </c>
      <c r="B11" s="5" t="s">
        <v>44</v>
      </c>
      <c r="C11" s="11">
        <v>3200</v>
      </c>
      <c r="D11" s="5">
        <v>35</v>
      </c>
      <c r="E11" s="11">
        <f t="shared" si="0"/>
        <v>112000</v>
      </c>
      <c r="F11" s="16" t="str">
        <f t="shared" si="1"/>
        <v>Топ</v>
      </c>
      <c r="G11" s="15"/>
      <c r="I11" s="5">
        <f t="shared" si="2"/>
        <v>3</v>
      </c>
    </row>
    <row r="12" spans="1:10" x14ac:dyDescent="0.3">
      <c r="A12" s="5">
        <v>11</v>
      </c>
      <c r="B12" s="5" t="s">
        <v>45</v>
      </c>
      <c r="C12" s="11">
        <v>400</v>
      </c>
      <c r="D12" s="5">
        <v>90</v>
      </c>
      <c r="E12" s="11">
        <f t="shared" si="0"/>
        <v>36000</v>
      </c>
      <c r="F12" s="16" t="str">
        <f t="shared" si="1"/>
        <v>Низкий</v>
      </c>
      <c r="G12" s="15"/>
      <c r="I12" s="5">
        <f t="shared" si="2"/>
        <v>15</v>
      </c>
    </row>
    <row r="13" spans="1:10" x14ac:dyDescent="0.3">
      <c r="A13" s="5">
        <v>12</v>
      </c>
      <c r="B13" s="5" t="s">
        <v>46</v>
      </c>
      <c r="C13" s="11">
        <v>1200</v>
      </c>
      <c r="D13" s="5">
        <v>40</v>
      </c>
      <c r="E13" s="11">
        <f t="shared" si="0"/>
        <v>48000</v>
      </c>
      <c r="F13" s="16" t="str">
        <f t="shared" si="1"/>
        <v>Низкий</v>
      </c>
      <c r="G13" s="15"/>
      <c r="I13" s="5">
        <f t="shared" si="2"/>
        <v>13</v>
      </c>
    </row>
    <row r="14" spans="1:10" x14ac:dyDescent="0.3">
      <c r="A14" s="5">
        <v>13</v>
      </c>
      <c r="B14" s="5" t="s">
        <v>47</v>
      </c>
      <c r="C14" s="11">
        <v>2500</v>
      </c>
      <c r="D14" s="5">
        <v>18</v>
      </c>
      <c r="E14" s="11">
        <f t="shared" si="0"/>
        <v>45000</v>
      </c>
      <c r="F14" s="16" t="str">
        <f t="shared" si="1"/>
        <v>Низкий</v>
      </c>
      <c r="G14" s="15"/>
      <c r="I14" s="5">
        <f t="shared" si="2"/>
        <v>14</v>
      </c>
    </row>
    <row r="15" spans="1:10" x14ac:dyDescent="0.3">
      <c r="A15" s="5">
        <v>14</v>
      </c>
      <c r="B15" s="5" t="s">
        <v>48</v>
      </c>
      <c r="C15" s="11">
        <v>350</v>
      </c>
      <c r="D15" s="5">
        <v>200</v>
      </c>
      <c r="E15" s="11">
        <f t="shared" si="0"/>
        <v>70000</v>
      </c>
      <c r="F15" s="16" t="str">
        <f t="shared" si="1"/>
        <v>Средний</v>
      </c>
      <c r="G15" s="15"/>
      <c r="I15" s="5">
        <f t="shared" si="2"/>
        <v>8</v>
      </c>
    </row>
    <row r="16" spans="1:10" x14ac:dyDescent="0.3">
      <c r="A16" s="5">
        <v>15</v>
      </c>
      <c r="B16" s="5" t="s">
        <v>49</v>
      </c>
      <c r="C16" s="11">
        <v>4500</v>
      </c>
      <c r="D16" s="5">
        <v>14</v>
      </c>
      <c r="E16" s="11">
        <f t="shared" si="0"/>
        <v>63000</v>
      </c>
      <c r="F16" s="16" t="str">
        <f t="shared" si="1"/>
        <v>Средний</v>
      </c>
      <c r="G16" s="15"/>
      <c r="I16" s="5">
        <f t="shared" si="2"/>
        <v>10</v>
      </c>
    </row>
    <row r="18" spans="2:3" x14ac:dyDescent="0.3">
      <c r="B18" s="8" t="s">
        <v>25</v>
      </c>
      <c r="C18" s="13">
        <f>AVERAGE(D2:D16)</f>
        <v>50</v>
      </c>
    </row>
    <row r="19" spans="2:3" x14ac:dyDescent="0.3">
      <c r="B19" s="8" t="s">
        <v>26</v>
      </c>
      <c r="C19" s="13">
        <f>MEDIAN(D2:D16)</f>
        <v>25</v>
      </c>
    </row>
    <row r="20" spans="2:3" x14ac:dyDescent="0.3">
      <c r="B20" s="8" t="s">
        <v>27</v>
      </c>
      <c r="C20" s="13" t="e">
        <f>_xlfn.MODE.SNGL(D2:D16)</f>
        <v>#N/A</v>
      </c>
    </row>
    <row r="21" spans="2:3" x14ac:dyDescent="0.3">
      <c r="B21" s="8" t="s">
        <v>28</v>
      </c>
      <c r="C21" s="13">
        <f>MIN(D2:D16)</f>
        <v>6</v>
      </c>
    </row>
    <row r="22" spans="2:3" x14ac:dyDescent="0.3">
      <c r="B22" s="8" t="s">
        <v>29</v>
      </c>
      <c r="C22" s="13">
        <f>MAX(D2:D16)</f>
        <v>200</v>
      </c>
    </row>
    <row r="23" spans="2:3" x14ac:dyDescent="0.3">
      <c r="B23" s="8" t="s">
        <v>51</v>
      </c>
      <c r="C23" s="13">
        <f>_xlfn.STDEV.S(D2:D16)</f>
        <v>53.949712034184465</v>
      </c>
    </row>
    <row r="24" spans="2:3" x14ac:dyDescent="0.3">
      <c r="B24" s="8" t="s">
        <v>52</v>
      </c>
      <c r="C24" s="13">
        <f>_xlfn.VAR.S(D2:D16)</f>
        <v>2910.5714285714284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Продажи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2026-09-30T09:26:46Z</dcterms:modified>
</cp:coreProperties>
</file>